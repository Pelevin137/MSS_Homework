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bookViews>
    <workbookView xWindow="0" yWindow="0" windowWidth="28800" windowHeight="12300"/>
  </bookViews>
  <sheets>
    <sheet name="Лист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5" i="1" l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G15" i="1"/>
  <c r="C5" i="1"/>
  <c r="AJ13" i="1"/>
  <c r="F13" i="1"/>
  <c r="H12" i="1"/>
  <c r="I12" i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G12" i="1"/>
  <c r="C4" i="1"/>
</calcChain>
</file>

<file path=xl/sharedStrings.xml><?xml version="1.0" encoding="utf-8"?>
<sst xmlns="http://schemas.openxmlformats.org/spreadsheetml/2006/main" count="12" uniqueCount="11">
  <si>
    <t>dx</t>
  </si>
  <si>
    <t>L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</si>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</sst>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5" formatCode="0.000"/>
    <numFmt numFmtId="166" formatCode="0.0000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6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213585687110211"/>
          <c:y val="2.9288639691246822E-2"/>
          <c:w val="0.78458426641623924"/>
          <c:h val="0.87405920018352457"/>
        </c:manualLayout>
      </c:layout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Лист1!$F$12:$AJ$12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293.33333333333297</c:v>
                </c:pt>
                <c:pt idx="2">
                  <c:v>286.66666666666595</c:v>
                </c:pt>
                <c:pt idx="3">
                  <c:v>279.99999999999898</c:v>
                </c:pt>
                <c:pt idx="4">
                  <c:v>273.33333333333206</c:v>
                </c:pt>
                <c:pt idx="5">
                  <c:v>266.66666666666515</c:v>
                </c:pt>
                <c:pt idx="6">
                  <c:v>259.99999999999829</c:v>
                </c:pt>
                <c:pt idx="7">
                  <c:v>253.3333333333315</c:v>
                </c:pt>
                <c:pt idx="8">
                  <c:v>246.66666666666472</c:v>
                </c:pt>
                <c:pt idx="9">
                  <c:v>239.99999999999795</c:v>
                </c:pt>
                <c:pt idx="10">
                  <c:v>233.33333333333121</c:v>
                </c:pt>
                <c:pt idx="11">
                  <c:v>226.6666666666645</c:v>
                </c:pt>
                <c:pt idx="12">
                  <c:v>219.99999999999778</c:v>
                </c:pt>
                <c:pt idx="13">
                  <c:v>213.3333333333311</c:v>
                </c:pt>
                <c:pt idx="14">
                  <c:v>206.66666666666444</c:v>
                </c:pt>
                <c:pt idx="15">
                  <c:v>199.99999999999778</c:v>
                </c:pt>
                <c:pt idx="16">
                  <c:v>193.33333333333115</c:v>
                </c:pt>
                <c:pt idx="17">
                  <c:v>186.66666666666453</c:v>
                </c:pt>
                <c:pt idx="18">
                  <c:v>179.99999999999793</c:v>
                </c:pt>
                <c:pt idx="19">
                  <c:v>173.33333333333132</c:v>
                </c:pt>
                <c:pt idx="20">
                  <c:v>166.66666666666475</c:v>
                </c:pt>
                <c:pt idx="21">
                  <c:v>159.99999999999821</c:v>
                </c:pt>
                <c:pt idx="22">
                  <c:v>153.33333333333167</c:v>
                </c:pt>
                <c:pt idx="23">
                  <c:v>146.66666666666515</c:v>
                </c:pt>
                <c:pt idx="24">
                  <c:v>139.99999999999866</c:v>
                </c:pt>
                <c:pt idx="25">
                  <c:v>133.33333333333218</c:v>
                </c:pt>
                <c:pt idx="26">
                  <c:v>126.66666666666573</c:v>
                </c:pt>
                <c:pt idx="27">
                  <c:v>119.99999999999929</c:v>
                </c:pt>
                <c:pt idx="28">
                  <c:v>113.33333333333286</c:v>
                </c:pt>
                <c:pt idx="29">
                  <c:v>106.66666666666643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029-4FF6-BF93-D330210938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9823183"/>
        <c:axId val="880162319"/>
      </c:scatterChart>
      <c:valAx>
        <c:axId val="879823183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80162319"/>
        <c:crosses val="autoZero"/>
        <c:crossBetween val="midCat"/>
      </c:valAx>
      <c:valAx>
        <c:axId val="88016231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798231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300" verticalDpi="30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295275</xdr:colOff>
      <xdr:row>16</xdr:row>
      <xdr:rowOff>142875</xdr:rowOff>
    </xdr:from>
    <xdr:to>
      <xdr:col>15</xdr:col>
      <xdr:colOff>66675</xdr:colOff>
      <xdr:row>37</xdr:row>
      <xdr:rowOff>47624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314325</xdr:colOff>
      <xdr:row>16</xdr:row>
      <xdr:rowOff>161925</xdr:rowOff>
    </xdr:from>
    <xdr:ext cx="495300" cy="21916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/>
            <xdr:cNvSpPr txBox="1"/>
          </xdr:nvSpPr>
          <xdr:spPr>
            <a:xfrm>
              <a:off x="3362325" y="3209925"/>
              <a:ext cx="495300" cy="219163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400" b="1" i="1"/>
                <a:t>T,</a:t>
              </a:r>
              <a14:m>
                <m:oMath xmlns:m="http://schemas.openxmlformats.org/officeDocument/2006/math">
                  <m:r>
                    <a:rPr lang="en-US" sz="1400" b="1" i="1">
                      <a:latin typeface="Cambria Math" panose="02040503050406030204" pitchFamily="18" charset="0"/>
                    </a:rPr>
                    <m:t>[</m:t>
                  </m:r>
                  <m:r>
                    <a:rPr lang="en-US" sz="1400" b="1" i="1">
                      <a:latin typeface="Cambria Math" panose="02040503050406030204" pitchFamily="18" charset="0"/>
                    </a:rPr>
                    <m:t>𝑪</m:t>
                  </m:r>
                  <m:r>
                    <a:rPr lang="en-US" sz="1400" b="1" i="1">
                      <a:latin typeface="Cambria Math" panose="02040503050406030204" pitchFamily="18" charset="0"/>
                    </a:rPr>
                    <m:t>]</m:t>
                  </m:r>
                </m:oMath>
              </a14:m>
              <a:endParaRPr lang="ru-RU" sz="1400" b="1" i="1"/>
            </a:p>
          </xdr:txBody>
        </xdr:sp>
      </mc:Choice>
      <mc:Fallback>
        <xdr:sp macro="" textlink="">
          <xdr:nvSpPr>
            <xdr:cNvPr id="3" name="TextBox 2"/>
            <xdr:cNvSpPr txBox="1"/>
          </xdr:nvSpPr>
          <xdr:spPr>
            <a:xfrm>
              <a:off x="3362325" y="3209925"/>
              <a:ext cx="495300" cy="219163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400" b="1" i="1"/>
                <a:t>T,</a:t>
              </a:r>
              <a:r>
                <a:rPr lang="en-US" sz="1400" b="1" i="0">
                  <a:latin typeface="Cambria Math" panose="02040503050406030204" pitchFamily="18" charset="0"/>
                </a:rPr>
                <a:t>[𝑪]</a:t>
              </a:r>
              <a:endParaRPr lang="ru-RU" sz="1400" b="1" i="1"/>
            </a:p>
          </xdr:txBody>
        </xdr:sp>
      </mc:Fallback>
    </mc:AlternateContent>
    <xdr:clientData/>
  </xdr:oneCellAnchor>
  <xdr:oneCellAnchor>
    <xdr:from>
      <xdr:col>14</xdr:col>
      <xdr:colOff>0</xdr:colOff>
      <xdr:row>35</xdr:row>
      <xdr:rowOff>95250</xdr:rowOff>
    </xdr:from>
    <xdr:ext cx="495300" cy="21916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/>
            <xdr:cNvSpPr txBox="1"/>
          </xdr:nvSpPr>
          <xdr:spPr>
            <a:xfrm>
              <a:off x="6991350" y="6762750"/>
              <a:ext cx="495300" cy="219163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400" b="1" i="1"/>
                <a:t>L,</a:t>
              </a:r>
              <a14:m>
                <m:oMath xmlns:m="http://schemas.openxmlformats.org/officeDocument/2006/math">
                  <m:r>
                    <a:rPr lang="en-US" sz="1400" b="1" i="1">
                      <a:latin typeface="Cambria Math" panose="02040503050406030204" pitchFamily="18" charset="0"/>
                    </a:rPr>
                    <m:t>[</m:t>
                  </m:r>
                  <m:r>
                    <a:rPr lang="en-US" sz="1400" b="1" i="1">
                      <a:latin typeface="Cambria Math" panose="02040503050406030204" pitchFamily="18" charset="0"/>
                    </a:rPr>
                    <m:t>𝒎</m:t>
                  </m:r>
                  <m:r>
                    <a:rPr lang="en-US" sz="1400" b="1" i="1">
                      <a:latin typeface="Cambria Math" panose="02040503050406030204" pitchFamily="18" charset="0"/>
                    </a:rPr>
                    <m:t>]</m:t>
                  </m:r>
                </m:oMath>
              </a14:m>
              <a:endParaRPr lang="ru-RU" sz="1400" b="1" i="1"/>
            </a:p>
          </xdr:txBody>
        </xdr:sp>
      </mc:Choice>
      <mc:Fallback>
        <xdr:sp macro="" textlink="">
          <xdr:nvSpPr>
            <xdr:cNvPr id="4" name="TextBox 3"/>
            <xdr:cNvSpPr txBox="1"/>
          </xdr:nvSpPr>
          <xdr:spPr>
            <a:xfrm>
              <a:off x="6991350" y="6762750"/>
              <a:ext cx="495300" cy="219163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400" b="1" i="1"/>
                <a:t>L,</a:t>
              </a:r>
              <a:r>
                <a:rPr lang="en-US" sz="1400" b="1" i="0">
                  <a:latin typeface="Cambria Math" panose="02040503050406030204" pitchFamily="18" charset="0"/>
                </a:rPr>
                <a:t>[𝒎]</a:t>
              </a:r>
              <a:endParaRPr lang="ru-RU" sz="1400" b="1" i="1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AJ15"/>
  <sheetViews>
    <sheetView tabSelected="1" workbookViewId="0">
      <selection activeCell="G13" sqref="G13:AI13"/>
    </sheetView>
  </sheetViews>
  <sheetFormatPr defaultRowHeight="15" x14ac:dyDescent="0.25"/>
  <cols>
    <col min="6" max="36" width="6.5703125" bestFit="1" customWidth="1"/>
  </cols>
  <sheetData>
    <row r="3" spans="2:36" x14ac:dyDescent="0.25">
      <c r="B3" s="2" t="s">
        <v>1</v>
      </c>
      <c r="C3" s="2">
        <v>0.1</v>
      </c>
    </row>
    <row r="4" spans="2:36" x14ac:dyDescent="0.25">
      <c r="B4" s="2" t="s">
        <v>0</v>
      </c>
      <c r="C4" s="4">
        <f>C3/30</f>
        <v>3.3333333333333335E-3</v>
      </c>
    </row>
    <row r="5" spans="2:36" x14ac:dyDescent="0.25">
      <c r="B5" s="2" t="s">
        <v>2</v>
      </c>
      <c r="C5" s="4">
        <f>(C9*C8*C4^2)/(2*C10)</f>
        <v>0.4333333333333334</v>
      </c>
    </row>
    <row r="6" spans="2:36" x14ac:dyDescent="0.25">
      <c r="B6" s="2" t="s">
        <v>3</v>
      </c>
      <c r="C6" s="2">
        <v>5000</v>
      </c>
      <c r="D6">
        <v>5000.2333333333345</v>
      </c>
    </row>
    <row r="8" spans="2:36" x14ac:dyDescent="0.25">
      <c r="B8" s="2" t="s">
        <v>4</v>
      </c>
      <c r="C8" s="2">
        <v>460</v>
      </c>
    </row>
    <row r="9" spans="2:36" x14ac:dyDescent="0.25">
      <c r="B9" s="2" t="s">
        <v>5</v>
      </c>
      <c r="C9" s="2">
        <v>7800</v>
      </c>
    </row>
    <row r="10" spans="2:36" x14ac:dyDescent="0.25">
      <c r="B10" s="2" t="s">
        <v>6</v>
      </c>
      <c r="C10" s="2">
        <v>46</v>
      </c>
    </row>
    <row r="11" spans="2:36" x14ac:dyDescent="0.25"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25">
      <c r="B12" s="2" t="s">
        <v>8</v>
      </c>
      <c r="C12" s="2">
        <v>300</v>
      </c>
      <c r="E12" t="s">
        <v>1</v>
      </c>
      <c r="F12" s="3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x14ac:dyDescent="0.25">
      <c r="B13" s="2" t="s">
        <v>9</v>
      </c>
      <c r="C13" s="2">
        <v>100</v>
      </c>
      <c r="E13" t="s">
        <v>7</v>
      </c>
      <c r="F13" s="1">
        <f>C12</f>
        <v>300</v>
      </c>
      <c r="G13" s="1">
        <v>293.33333333333297</v>
      </c>
      <c r="H13" s="1">
        <v>286.66666666666595</v>
      </c>
      <c r="I13" s="1">
        <v>279.99999999999898</v>
      </c>
      <c r="J13" s="1">
        <v>273.33333333333206</v>
      </c>
      <c r="K13" s="1">
        <v>266.66666666666515</v>
      </c>
      <c r="L13" s="1">
        <v>259.99999999999829</v>
      </c>
      <c r="M13" s="1">
        <v>253.3333333333315</v>
      </c>
      <c r="N13" s="1">
        <v>246.66666666666472</v>
      </c>
      <c r="O13" s="1">
        <v>239.99999999999795</v>
      </c>
      <c r="P13" s="1">
        <v>233.33333333333121</v>
      </c>
      <c r="Q13" s="1">
        <v>226.6666666666645</v>
      </c>
      <c r="R13" s="1">
        <v>219.99999999999778</v>
      </c>
      <c r="S13" s="1">
        <v>213.3333333333311</v>
      </c>
      <c r="T13" s="1">
        <v>206.66666666666444</v>
      </c>
      <c r="U13" s="1">
        <v>199.99999999999778</v>
      </c>
      <c r="V13" s="1">
        <v>193.33333333333115</v>
      </c>
      <c r="W13" s="1">
        <v>186.66666666666453</v>
      </c>
      <c r="X13" s="1">
        <v>179.99999999999793</v>
      </c>
      <c r="Y13" s="1">
        <v>173.33333333333132</v>
      </c>
      <c r="Z13" s="1">
        <v>166.66666666666475</v>
      </c>
      <c r="AA13" s="1">
        <v>159.99999999999821</v>
      </c>
      <c r="AB13" s="1">
        <v>153.33333333333167</v>
      </c>
      <c r="AC13" s="1">
        <v>146.66666666666515</v>
      </c>
      <c r="AD13" s="1">
        <v>139.99999999999866</v>
      </c>
      <c r="AE13" s="1">
        <v>133.33333333333218</v>
      </c>
      <c r="AF13" s="1">
        <v>126.66666666666573</v>
      </c>
      <c r="AG13" s="1">
        <v>119.99999999999929</v>
      </c>
      <c r="AH13" s="1">
        <v>113.33333333333286</v>
      </c>
      <c r="AI13" s="1">
        <v>106.66666666666643</v>
      </c>
      <c r="AJ13" s="1">
        <f>C13</f>
        <v>100</v>
      </c>
    </row>
    <row r="15" spans="2:36" x14ac:dyDescent="0.25">
      <c r="E15" t="s">
        <v>10</v>
      </c>
      <c r="G15">
        <f>G13+(($C$10*$C$5)/($C$9*$C$8))*((H13-2*G13+F13)/($C$4^2))</f>
        <v>293.33333333333297</v>
      </c>
      <c r="H15">
        <f t="shared" ref="H15:AI15" si="1">H13+(($C$10*$C$5)/($C$9*$C$8))*((I13-2*H13+G13)/($C$4^2))</f>
        <v>286.66666666666595</v>
      </c>
      <c r="I15">
        <f t="shared" si="1"/>
        <v>279.99999999999898</v>
      </c>
      <c r="J15">
        <f t="shared" si="1"/>
        <v>273.33333333333206</v>
      </c>
      <c r="K15">
        <f t="shared" si="1"/>
        <v>266.66666666666515</v>
      </c>
      <c r="L15">
        <f t="shared" si="1"/>
        <v>259.99999999999829</v>
      </c>
      <c r="M15">
        <f t="shared" si="1"/>
        <v>253.3333333333315</v>
      </c>
      <c r="N15">
        <f t="shared" si="1"/>
        <v>246.66666666666472</v>
      </c>
      <c r="O15">
        <f t="shared" si="1"/>
        <v>239.99999999999795</v>
      </c>
      <c r="P15">
        <f t="shared" si="1"/>
        <v>233.33333333333121</v>
      </c>
      <c r="Q15">
        <f t="shared" si="1"/>
        <v>226.6666666666645</v>
      </c>
      <c r="R15">
        <f t="shared" si="1"/>
        <v>219.99999999999778</v>
      </c>
      <c r="S15">
        <f t="shared" si="1"/>
        <v>213.3333333333311</v>
      </c>
      <c r="T15">
        <f t="shared" si="1"/>
        <v>206.66666666666444</v>
      </c>
      <c r="U15">
        <f t="shared" si="1"/>
        <v>199.99999999999778</v>
      </c>
      <c r="V15">
        <f t="shared" si="1"/>
        <v>193.33333333333115</v>
      </c>
      <c r="W15">
        <f t="shared" si="1"/>
        <v>186.66666666666453</v>
      </c>
      <c r="X15">
        <f t="shared" si="1"/>
        <v>179.99999999999793</v>
      </c>
      <c r="Y15">
        <f t="shared" si="1"/>
        <v>173.33333333333132</v>
      </c>
      <c r="Z15">
        <f t="shared" si="1"/>
        <v>166.66666666666475</v>
      </c>
      <c r="AA15">
        <f t="shared" si="1"/>
        <v>159.99999999999821</v>
      </c>
      <c r="AB15">
        <f t="shared" si="1"/>
        <v>153.33333333333167</v>
      </c>
      <c r="AC15">
        <f t="shared" si="1"/>
        <v>146.66666666666515</v>
      </c>
      <c r="AD15">
        <f t="shared" si="1"/>
        <v>139.99999999999866</v>
      </c>
      <c r="AE15">
        <f t="shared" si="1"/>
        <v>133.33333333333218</v>
      </c>
      <c r="AF15">
        <f t="shared" si="1"/>
        <v>126.66666666666573</v>
      </c>
      <c r="AG15">
        <f t="shared" si="1"/>
        <v>119.99999999999929</v>
      </c>
      <c r="AH15">
        <f t="shared" si="1"/>
        <v>113.33333333333286</v>
      </c>
      <c r="AI15">
        <f t="shared" si="1"/>
        <v>106.66666666666643</v>
      </c>
    </row>
  </sheetData>
  <conditionalFormatting sqref="F13:AJ13">
    <cfRule type="colorScale" priority="1">
      <colorScale>
        <cfvo type="min"/>
        <cfvo type="percentile" val="50"/>
        <cfvo type="max"/>
        <color theme="8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Андрей</dc:creator>
  <cp:lastModifiedBy>Андрей</cp:lastModifiedBy>
  <dcterms:created xsi:type="dcterms:W3CDTF">2021-09-19T17:11:03Z</dcterms:created>
  <dcterms:modified xsi:type="dcterms:W3CDTF">2021-09-19T20:34:20Z</dcterms:modified>
</cp:coreProperties>
</file>