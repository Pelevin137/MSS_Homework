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8800" windowHeight="12300" activeTab="2"/>
  </bookViews>
  <sheets>
    <sheet name="ГУ 1 рода" sheetId="1" r:id="rId1"/>
    <sheet name="ГУ 2 рода" sheetId="2" r:id="rId2"/>
    <sheet name="ГУ 3 рода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" l="1"/>
  <c r="G15" i="3" s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3" i="3"/>
  <c r="H12" i="3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2" i="3"/>
  <c r="C5" i="3"/>
  <c r="C5" i="2"/>
  <c r="C4" i="3"/>
  <c r="F16" i="2" l="1"/>
  <c r="G15" i="1"/>
  <c r="C5" i="1"/>
  <c r="H12" i="2"/>
  <c r="I12" i="2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4" i="2"/>
  <c r="C4" i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1" l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<sst xmlns="http://schemas.openxmlformats.org/spreadsheetml/2006/main" count="38" uniqueCount="15">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</sst>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60576"/>
        <c:axId val="226358912"/>
      </c:scatterChart>
      <c:valAx>
        <c:axId val="226360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58912"/>
        <c:crosses val="autoZero"/>
        <c:crossBetween val="midCat"/>
      </c:valAx>
      <c:valAx>
        <c:axId val="226358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60576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62064"/>
        <c:axId val="351861232"/>
      </c:scatterChart>
      <c:valAx>
        <c:axId val="351862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1232"/>
        <c:crosses val="autoZero"/>
        <c:crossBetween val="midCat"/>
      </c:valAx>
      <c:valAx>
        <c:axId val="35186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1034.8901342390145</c:v>
                </c:pt>
                <c:pt idx="1">
                  <c:v>1040.2154250668334</c:v>
                </c:pt>
                <c:pt idx="2">
                  <c:v>1045.5553408568494</c:v>
                </c:pt>
                <c:pt idx="3">
                  <c:v>1050.9099385092586</c:v>
                </c:pt>
                <c:pt idx="4">
                  <c:v>1056.2792264420495</c:v>
                </c:pt>
                <c:pt idx="5">
                  <c:v>1061.6631645212569</c:v>
                </c:pt>
                <c:pt idx="6">
                  <c:v>1067.0616642558305</c:v>
                </c:pt>
                <c:pt idx="7">
                  <c:v>1072.4745890079989</c:v>
                </c:pt>
                <c:pt idx="8">
                  <c:v>1077.9017545452841</c:v>
                </c:pt>
                <c:pt idx="9">
                  <c:v>1083.3429295308267</c:v>
                </c:pt>
                <c:pt idx="10">
                  <c:v>1088.7978364220337</c:v>
                </c:pt>
                <c:pt idx="11">
                  <c:v>1094.266152238175</c:v>
                </c:pt>
                <c:pt idx="12">
                  <c:v>1099.7475097894994</c:v>
                </c:pt>
                <c:pt idx="13">
                  <c:v>1105.2414987167417</c:v>
                </c:pt>
                <c:pt idx="14">
                  <c:v>1110.7476670292872</c:v>
                </c:pt>
                <c:pt idx="15">
                  <c:v>1116.2655224084178</c:v>
                </c:pt>
                <c:pt idx="16">
                  <c:v>1121.7945340283707</c:v>
                </c:pt>
                <c:pt idx="17">
                  <c:v>1127.3341341121941</c:v>
                </c:pt>
                <c:pt idx="18">
                  <c:v>1132.8837200054224</c:v>
                </c:pt>
                <c:pt idx="19">
                  <c:v>1138.4426559703254</c:v>
                </c:pt>
                <c:pt idx="20">
                  <c:v>1144.0102754784796</c:v>
                </c:pt>
                <c:pt idx="21">
                  <c:v>1149.5858832260142</c:v>
                </c:pt>
                <c:pt idx="22">
                  <c:v>1155.1687576086467</c:v>
                </c:pt>
                <c:pt idx="23">
                  <c:v>1160.7581529372883</c:v>
                </c:pt>
                <c:pt idx="24">
                  <c:v>1166.3533020571622</c:v>
                </c:pt>
                <c:pt idx="25">
                  <c:v>1171.9534187398967</c:v>
                </c:pt>
                <c:pt idx="26">
                  <c:v>1177.5577004071581</c:v>
                </c:pt>
                <c:pt idx="27">
                  <c:v>1183.1653306721969</c:v>
                </c:pt>
                <c:pt idx="28">
                  <c:v>1188.7754821279859</c:v>
                </c:pt>
                <c:pt idx="29">
                  <c:v>1194.3873190081752</c:v>
                </c:pt>
                <c:pt idx="30">
                  <c:v>1200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0960"/>
        <c:axId val="320561376"/>
      </c:scatterChart>
      <c:valAx>
        <c:axId val="3205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561376"/>
        <c:crosses val="autoZero"/>
        <c:crossBetween val="midCat"/>
      </c:valAx>
      <c:valAx>
        <c:axId val="320561376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560960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/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17</xdr:row>
      <xdr:rowOff>57148</xdr:rowOff>
    </xdr:from>
    <xdr:to>
      <xdr:col>13</xdr:col>
      <xdr:colOff>119062</xdr:colOff>
      <xdr:row>42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476250</xdr:colOff>
      <xdr:row>17</xdr:row>
      <xdr:rowOff>142875</xdr:rowOff>
    </xdr:from>
    <xdr:ext cx="619125" cy="583406"/>
    <xdr:sp macro="" textlink="">
      <xdr:nvSpPr>
        <xdr:cNvPr id="4" name="TextBox 3"/>
        <xdr:cNvSpPr txBox="1"/>
      </xdr:nvSpPr>
      <xdr:spPr>
        <a:xfrm>
          <a:off x="3548063" y="3381375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opLeftCell="A13" zoomScale="70" zoomScaleNormal="70" workbookViewId="0">
      <selection activeCell="D25" sqref="D25"/>
    </sheetView>
  </sheetViews>
  <sheetFormatPr defaultRowHeight="15" x14ac:dyDescent="0.2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6"/>
      <c r="C7" s="6"/>
    </row>
    <row r="8" spans="2:36" x14ac:dyDescent="0.25">
      <c r="B8" s="2" t="s">
        <v>4</v>
      </c>
      <c r="C8" s="2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75" x14ac:dyDescent="0.25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opLeftCell="A4" zoomScale="70" zoomScaleNormal="70" workbookViewId="0">
      <selection activeCell="L8" sqref="L8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 s="9">
        <v>5000.2333333333345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 x14ac:dyDescent="0.25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 x14ac:dyDescent="0.25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5"/>
  <sheetViews>
    <sheetView tabSelected="1" zoomScale="80" zoomScaleNormal="80" workbookViewId="0">
      <selection activeCell="C13" sqref="C13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1500</v>
      </c>
      <c r="D6">
        <v>1500.2000000000003</v>
      </c>
    </row>
    <row r="7" spans="2:36" x14ac:dyDescent="0.25">
      <c r="B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25">
      <c r="B12" s="2" t="s">
        <v>13</v>
      </c>
      <c r="C12" s="2">
        <v>300</v>
      </c>
      <c r="E12" t="s">
        <v>0</v>
      </c>
      <c r="F12" s="8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25">
      <c r="B13" s="2" t="s">
        <v>9</v>
      </c>
      <c r="C13" s="2">
        <v>1200</v>
      </c>
      <c r="E13" t="s">
        <v>7</v>
      </c>
      <c r="F13">
        <f>(G13+$C$12*$C$14*$C$4/$C$10)/(1+$C$14*$C$4/$C$10)</f>
        <v>1034.8901342390145</v>
      </c>
      <c r="G13">
        <v>1040.2154250668334</v>
      </c>
      <c r="H13">
        <v>1045.5553408568494</v>
      </c>
      <c r="I13">
        <v>1050.9099385092586</v>
      </c>
      <c r="J13">
        <v>1056.2792264420495</v>
      </c>
      <c r="K13">
        <v>1061.6631645212569</v>
      </c>
      <c r="L13">
        <v>1067.0616642558305</v>
      </c>
      <c r="M13">
        <v>1072.4745890079989</v>
      </c>
      <c r="N13">
        <v>1077.9017545452841</v>
      </c>
      <c r="O13">
        <v>1083.3429295308267</v>
      </c>
      <c r="P13">
        <v>1088.7978364220337</v>
      </c>
      <c r="Q13">
        <v>1094.266152238175</v>
      </c>
      <c r="R13">
        <v>1099.7475097894994</v>
      </c>
      <c r="S13">
        <v>1105.2414987167417</v>
      </c>
      <c r="T13">
        <v>1110.7476670292872</v>
      </c>
      <c r="U13">
        <v>1116.2655224084178</v>
      </c>
      <c r="V13">
        <v>1121.7945340283707</v>
      </c>
      <c r="W13">
        <v>1127.3341341121941</v>
      </c>
      <c r="X13">
        <v>1132.8837200054224</v>
      </c>
      <c r="Y13">
        <v>1138.4426559703254</v>
      </c>
      <c r="Z13">
        <v>1144.0102754784796</v>
      </c>
      <c r="AA13">
        <v>1149.5858832260142</v>
      </c>
      <c r="AB13">
        <v>1155.1687576086467</v>
      </c>
      <c r="AC13">
        <v>1160.7581529372883</v>
      </c>
      <c r="AD13">
        <v>1166.3533020571622</v>
      </c>
      <c r="AE13">
        <v>1171.9534187398967</v>
      </c>
      <c r="AF13">
        <v>1177.5577004071581</v>
      </c>
      <c r="AG13">
        <v>1183.1653306721969</v>
      </c>
      <c r="AH13">
        <v>1188.7754821279859</v>
      </c>
      <c r="AI13">
        <v>1194.3873190081752</v>
      </c>
      <c r="AJ13">
        <f>C13</f>
        <v>1200</v>
      </c>
    </row>
    <row r="14" spans="2:36" x14ac:dyDescent="0.25">
      <c r="B14" s="2" t="s">
        <v>14</v>
      </c>
      <c r="C14" s="2">
        <v>100</v>
      </c>
    </row>
    <row r="15" spans="2:36" x14ac:dyDescent="0.25">
      <c r="E15" t="s">
        <v>10</v>
      </c>
      <c r="G15">
        <f>G13+(($C$10*$C$5)/($C$9*$C$8))*( (H13-2*G13+F13)/($C$4^2))</f>
        <v>1040.222737547932</v>
      </c>
      <c r="H15">
        <f t="shared" ref="H15:AI15" si="1">H13+(($C$10*$C$5)/($C$9*$C$8))*( (I13-2*H13+G13)/($C$4^2))</f>
        <v>1045.5626817880461</v>
      </c>
      <c r="I15">
        <f t="shared" si="1"/>
        <v>1050.9172836494495</v>
      </c>
      <c r="J15">
        <f t="shared" si="1"/>
        <v>1056.2865515152578</v>
      </c>
      <c r="K15">
        <f t="shared" si="1"/>
        <v>1061.6704453489401</v>
      </c>
      <c r="L15">
        <f t="shared" si="1"/>
        <v>1067.0688767646279</v>
      </c>
      <c r="M15">
        <f t="shared" si="1"/>
        <v>1072.4817094005573</v>
      </c>
      <c r="N15">
        <f t="shared" si="1"/>
        <v>1077.9087592694127</v>
      </c>
      <c r="O15">
        <f t="shared" si="1"/>
        <v>1083.3497954836589</v>
      </c>
      <c r="P15">
        <f t="shared" si="1"/>
        <v>1088.804540884501</v>
      </c>
      <c r="Q15">
        <f t="shared" si="1"/>
        <v>1094.2726731057664</v>
      </c>
      <c r="R15">
        <f t="shared" si="1"/>
        <v>1099.7538254774583</v>
      </c>
      <c r="S15">
        <f t="shared" si="1"/>
        <v>1105.2475884093933</v>
      </c>
      <c r="T15">
        <f t="shared" si="1"/>
        <v>1110.7535105625798</v>
      </c>
      <c r="U15">
        <f t="shared" si="1"/>
        <v>1116.2711005288288</v>
      </c>
      <c r="V15">
        <f t="shared" si="1"/>
        <v>1121.799828260306</v>
      </c>
      <c r="W15">
        <f t="shared" si="1"/>
        <v>1127.3391270168966</v>
      </c>
      <c r="X15">
        <f t="shared" si="1"/>
        <v>1132.8883950412596</v>
      </c>
      <c r="Y15">
        <f t="shared" si="1"/>
        <v>1138.446997741951</v>
      </c>
      <c r="Z15">
        <f t="shared" si="1"/>
        <v>1144.0142695981699</v>
      </c>
      <c r="AA15">
        <f t="shared" si="1"/>
        <v>1149.5895165435631</v>
      </c>
      <c r="AB15">
        <f t="shared" si="1"/>
        <v>1155.1720180816512</v>
      </c>
      <c r="AC15">
        <f t="shared" si="1"/>
        <v>1160.7610298329046</v>
      </c>
      <c r="AD15">
        <f t="shared" si="1"/>
        <v>1166.3557858385925</v>
      </c>
      <c r="AE15">
        <f t="shared" si="1"/>
        <v>1171.9555012321603</v>
      </c>
      <c r="AF15">
        <f t="shared" si="1"/>
        <v>1177.5593747060468</v>
      </c>
      <c r="AG15">
        <f t="shared" si="1"/>
        <v>1183.1665912675721</v>
      </c>
      <c r="AH15">
        <f t="shared" si="1"/>
        <v>1188.7763248401861</v>
      </c>
      <c r="AI15">
        <f t="shared" si="1"/>
        <v>1194.387741063993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2021-10-11T18:28:11Z</dcterms:modified>
</cp:coreProperties>
</file>